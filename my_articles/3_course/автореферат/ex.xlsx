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5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220D98E3-51B3-4696-89CA-352125D6841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Лист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1" l="1"/>
  <c r="B52" i="1"/>
</calcChain>
</file>

<file path=xl/sharedStrings.xml><?xml version="1.0" encoding="utf-8"?>
<sst xmlns="http://schemas.openxmlformats.org/spreadsheetml/2006/main" count="11" uniqueCount="11">
  <si>
    <t>скв</t>
  </si>
  <si>
    <t>Дебит газа, тыс.м3/сут</t>
  </si>
  <si>
    <t>Давление забойное, бар</t>
  </si>
  <si>
    <t>ГДИ</t>
  </si>
  <si>
    <t>ГДМ</t>
  </si>
  <si>
    <t>Температура расч (к-т Джоуля-Томпсона), C</t>
  </si>
  <si>
    <t>Давление,МПа</t>
  </si>
  <si>
    <t>Температура,°C</t>
  </si>
  <si>
    <t>ГДИ (расч. Тзаб.)</t>
  </si>
  <si>
    <t>Время на режиме, ч</t>
  </si>
  <si>
    <t>Кривая гидратообразования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</si>
</sst>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+mn-lt"/>
              </a:rPr>
              <a:t>446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99168938411455"/>
          <c:y val="5.6987168270632847E-2"/>
          <c:w val="0.80393195073651402"/>
          <c:h val="0.74792242636337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ГДИ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Лист1!$C$4:$C$10</c:f>
              <c:numCache>
                <c:formatCode>General</c:formatCode>
                <c:ptCount val="7"/>
                <c:pt idx="0">
                  <c:v>31.3</c:v>
                </c:pt>
                <c:pt idx="1">
                  <c:v>53.9</c:v>
                </c:pt>
                <c:pt idx="2">
                  <c:v>71.400000000000006</c:v>
                </c:pt>
                <c:pt idx="3">
                  <c:v>63.4</c:v>
                </c:pt>
                <c:pt idx="4">
                  <c:v>71.400000000000006</c:v>
                </c:pt>
                <c:pt idx="5">
                  <c:v>53.9</c:v>
                </c:pt>
                <c:pt idx="6">
                  <c:v>31.3</c:v>
                </c:pt>
              </c:numCache>
            </c:numRef>
          </c:xVal>
          <c:yVal>
            <c:numRef>
              <c:f>Лист1!$D$4:$D$10</c:f>
              <c:numCache>
                <c:formatCode>0.0</c:formatCode>
                <c:ptCount val="7"/>
                <c:pt idx="0">
                  <c:v>135.4</c:v>
                </c:pt>
                <c:pt idx="1">
                  <c:v>123.4</c:v>
                </c:pt>
                <c:pt idx="2">
                  <c:v>112.6</c:v>
                </c:pt>
                <c:pt idx="3">
                  <c:v>97.4</c:v>
                </c:pt>
                <c:pt idx="4">
                  <c:v>112.6</c:v>
                </c:pt>
                <c:pt idx="5">
                  <c:v>123.4</c:v>
                </c:pt>
                <c:pt idx="6">
                  <c:v>135.4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21-44DF-A12D-1953D03B983A}"/>
            </c:ext>
          </c:extLst>
        </c:ser>
        <c:ser>
          <c:idx val="1"/>
          <c:order val="1"/>
          <c:tx>
            <c:strRef>
              <c:f>Лист1!$E$2</c:f>
              <c:strCache>
                <c:ptCount val="1"/>
                <c:pt idx="0">
                  <c:v>ГДМ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Лист1!$C$4:$C$10</c:f>
              <c:numCache>
                <c:formatCode>General</c:formatCode>
                <c:ptCount val="7"/>
                <c:pt idx="0">
                  <c:v>31.3</c:v>
                </c:pt>
                <c:pt idx="1">
                  <c:v>53.9</c:v>
                </c:pt>
                <c:pt idx="2">
                  <c:v>71.400000000000006</c:v>
                </c:pt>
                <c:pt idx="3">
                  <c:v>63.4</c:v>
                </c:pt>
                <c:pt idx="4">
                  <c:v>71.400000000000006</c:v>
                </c:pt>
                <c:pt idx="5">
                  <c:v>53.9</c:v>
                </c:pt>
                <c:pt idx="6">
                  <c:v>31.3</c:v>
                </c:pt>
              </c:numCache>
            </c:numRef>
          </c:xVal>
          <c:yVal>
            <c:numRef>
              <c:f>Лист1!$E$4:$E$10</c:f>
              <c:numCache>
                <c:formatCode>General</c:formatCode>
                <c:ptCount val="7"/>
                <c:pt idx="0">
                  <c:v>128.75499396482601</c:v>
                </c:pt>
                <c:pt idx="1">
                  <c:v>121.41776023574199</c:v>
                </c:pt>
                <c:pt idx="2">
                  <c:v>115.719436615248</c:v>
                </c:pt>
                <c:pt idx="3">
                  <c:v>118.098778778952</c:v>
                </c:pt>
                <c:pt idx="4">
                  <c:v>115.538601254375</c:v>
                </c:pt>
                <c:pt idx="5">
                  <c:v>120.95460352542599</c:v>
                </c:pt>
                <c:pt idx="6">
                  <c:v>128.195772256466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21-44DF-A12D-1953D03B9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465424"/>
        <c:axId val="936463072"/>
      </c:scatterChart>
      <c:valAx>
        <c:axId val="93646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latin typeface="+mn-lt"/>
                  </a:rPr>
                  <a:t>Дебит газа, тыс.м</a:t>
                </a:r>
                <a:r>
                  <a:rPr lang="ru-RU" baseline="30000">
                    <a:latin typeface="+mn-lt"/>
                  </a:rPr>
                  <a:t>3</a:t>
                </a:r>
                <a:r>
                  <a:rPr lang="ru-RU">
                    <a:latin typeface="+mn-lt"/>
                  </a:rPr>
                  <a:t>/сут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6463072"/>
        <c:crosses val="autoZero"/>
        <c:crossBetween val="midCat"/>
      </c:valAx>
      <c:valAx>
        <c:axId val="936463072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latin typeface="+mn-lt"/>
                  </a:rPr>
                  <a:t>Забойное давление, бар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646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50619974169959"/>
          <c:y val="0.63554913969087212"/>
          <c:w val="0.1119027379149175"/>
          <c:h val="0.17157430555555558"/>
        </c:manualLayout>
      </c:layout>
      <c:overlay val="0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latin typeface="Arial Narrow" panose="020B060602020203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24665540289244"/>
          <c:y val="4.4414556288572035E-2"/>
          <c:w val="0.8096534795498741"/>
          <c:h val="0.7612780024118607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Лист1!$W$2</c:f>
              <c:strCache>
                <c:ptCount val="1"/>
                <c:pt idx="0">
                  <c:v>Кривая гидратообразования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Лист1!$X$5:$X$15</c:f>
              <c:numCache>
                <c:formatCode>General</c:formatCode>
                <c:ptCount val="11"/>
                <c:pt idx="0">
                  <c:v>-0.2</c:v>
                </c:pt>
                <c:pt idx="1">
                  <c:v>1.4</c:v>
                </c:pt>
                <c:pt idx="2">
                  <c:v>2.75</c:v>
                </c:pt>
                <c:pt idx="3">
                  <c:v>3.8</c:v>
                </c:pt>
                <c:pt idx="4">
                  <c:v>4.6500000000000004</c:v>
                </c:pt>
                <c:pt idx="5">
                  <c:v>5.35</c:v>
                </c:pt>
                <c:pt idx="6">
                  <c:v>5.9</c:v>
                </c:pt>
                <c:pt idx="7">
                  <c:v>6.35</c:v>
                </c:pt>
                <c:pt idx="8">
                  <c:v>6.7</c:v>
                </c:pt>
                <c:pt idx="9">
                  <c:v>7.05</c:v>
                </c:pt>
                <c:pt idx="10">
                  <c:v>7.3</c:v>
                </c:pt>
              </c:numCache>
            </c:numRef>
          </c:xVal>
          <c:yVal>
            <c:numRef>
              <c:f>Лист1!$W$5:$W$15</c:f>
              <c:numCache>
                <c:formatCode>General</c:formatCode>
                <c:ptCount val="1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64-485A-BE6D-ABBEB44BC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464248"/>
        <c:axId val="936461504"/>
      </c:scatterChart>
      <c:scatterChart>
        <c:scatterStyle val="lineMarker"/>
        <c:varyColors val="0"/>
        <c:ser>
          <c:idx val="2"/>
          <c:order val="1"/>
          <c:tx>
            <c:strRef>
              <c:f>Лист1!$X$2</c:f>
              <c:strCache>
                <c:ptCount val="1"/>
                <c:pt idx="0">
                  <c:v>ГДИ (расч. Тзаб.)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Лист1!$F$4:$F$10</c:f>
              <c:numCache>
                <c:formatCode>General</c:formatCode>
                <c:ptCount val="7"/>
                <c:pt idx="0">
                  <c:v>10.59422861</c:v>
                </c:pt>
                <c:pt idx="1">
                  <c:v>-14.748704719000001</c:v>
                </c:pt>
                <c:pt idx="2">
                  <c:v>5.8988045899999992</c:v>
                </c:pt>
                <c:pt idx="3">
                  <c:v>2.7685219100000005</c:v>
                </c:pt>
                <c:pt idx="4">
                  <c:v>5.8988045899999992</c:v>
                </c:pt>
                <c:pt idx="5">
                  <c:v>8.1229528099999992</c:v>
                </c:pt>
                <c:pt idx="6">
                  <c:v>10.59422861</c:v>
                </c:pt>
              </c:numCache>
            </c:numRef>
          </c:xVal>
          <c:yVal>
            <c:numRef>
              <c:f>Лист1!$D$4:$D$10</c:f>
              <c:numCache>
                <c:formatCode>0.0</c:formatCode>
                <c:ptCount val="7"/>
                <c:pt idx="0">
                  <c:v>135.4</c:v>
                </c:pt>
                <c:pt idx="1">
                  <c:v>123.4</c:v>
                </c:pt>
                <c:pt idx="2">
                  <c:v>112.6</c:v>
                </c:pt>
                <c:pt idx="3">
                  <c:v>97.4</c:v>
                </c:pt>
                <c:pt idx="4">
                  <c:v>112.6</c:v>
                </c:pt>
                <c:pt idx="5">
                  <c:v>123.4</c:v>
                </c:pt>
                <c:pt idx="6">
                  <c:v>135.4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64-485A-BE6D-ABBEB44BC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464248"/>
        <c:axId val="936461504"/>
      </c:scatterChart>
      <c:valAx>
        <c:axId val="936464248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Температура, °</a:t>
                </a:r>
                <a:r>
                  <a:rPr lang="en-US" sz="1200"/>
                  <a:t>C</a:t>
                </a:r>
              </a:p>
            </c:rich>
          </c:tx>
          <c:layout>
            <c:manualLayout>
              <c:xMode val="edge"/>
              <c:yMode val="edge"/>
              <c:x val="0.4481894014260363"/>
              <c:y val="0.87132042278498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6461504"/>
        <c:crosses val="autoZero"/>
        <c:crossBetween val="midCat"/>
      </c:valAx>
      <c:valAx>
        <c:axId val="936461504"/>
        <c:scaling>
          <c:orientation val="minMax"/>
          <c:max val="1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Забойное давление, бар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6464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893737979112E-2"/>
          <c:y val="0.92611335745194012"/>
          <c:w val="0.9"/>
          <c:h val="7.3886642548059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24665540289244"/>
          <c:y val="4.4414556288572035E-2"/>
          <c:w val="0.8096534795498741"/>
          <c:h val="0.7612780024118607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Лист1!$W$2</c:f>
              <c:strCache>
                <c:ptCount val="1"/>
                <c:pt idx="0">
                  <c:v>Кривая гидратообразования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Лист1!$X$5:$X$15</c:f>
              <c:numCache>
                <c:formatCode>General</c:formatCode>
                <c:ptCount val="11"/>
                <c:pt idx="0">
                  <c:v>-0.2</c:v>
                </c:pt>
                <c:pt idx="1">
                  <c:v>1.4</c:v>
                </c:pt>
                <c:pt idx="2">
                  <c:v>2.75</c:v>
                </c:pt>
                <c:pt idx="3">
                  <c:v>3.8</c:v>
                </c:pt>
                <c:pt idx="4">
                  <c:v>4.6500000000000004</c:v>
                </c:pt>
                <c:pt idx="5">
                  <c:v>5.35</c:v>
                </c:pt>
                <c:pt idx="6">
                  <c:v>5.9</c:v>
                </c:pt>
                <c:pt idx="7">
                  <c:v>6.35</c:v>
                </c:pt>
                <c:pt idx="8">
                  <c:v>6.7</c:v>
                </c:pt>
                <c:pt idx="9">
                  <c:v>7.05</c:v>
                </c:pt>
                <c:pt idx="10">
                  <c:v>7.3</c:v>
                </c:pt>
              </c:numCache>
            </c:numRef>
          </c:xVal>
          <c:yVal>
            <c:numRef>
              <c:f>Лист1!$W$5:$W$15</c:f>
              <c:numCache>
                <c:formatCode>General</c:formatCode>
                <c:ptCount val="1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FC-49AD-B29A-D0C732425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933032"/>
        <c:axId val="980930680"/>
      </c:scatterChart>
      <c:scatterChart>
        <c:scatterStyle val="lineMarker"/>
        <c:varyColors val="0"/>
        <c:ser>
          <c:idx val="2"/>
          <c:order val="1"/>
          <c:tx>
            <c:strRef>
              <c:f>Лист1!$X$2</c:f>
              <c:strCache>
                <c:ptCount val="1"/>
                <c:pt idx="0">
                  <c:v>ГДИ (расч. Тзаб.)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Лист1!$F$30:$F$38</c:f>
              <c:numCache>
                <c:formatCode>General</c:formatCode>
                <c:ptCount val="9"/>
                <c:pt idx="0">
                  <c:v>11.354024265</c:v>
                </c:pt>
                <c:pt idx="1">
                  <c:v>10.962738929999999</c:v>
                </c:pt>
                <c:pt idx="2">
                  <c:v>10.55085963</c:v>
                </c:pt>
                <c:pt idx="3">
                  <c:v>9.5829432749999999</c:v>
                </c:pt>
                <c:pt idx="4">
                  <c:v>8.9857182900000012</c:v>
                </c:pt>
                <c:pt idx="5">
                  <c:v>10.241950154999998</c:v>
                </c:pt>
                <c:pt idx="6">
                  <c:v>10.571453595000003</c:v>
                </c:pt>
                <c:pt idx="7">
                  <c:v>8.9239363950000019</c:v>
                </c:pt>
                <c:pt idx="8">
                  <c:v>5.7730597500000007</c:v>
                </c:pt>
              </c:numCache>
            </c:numRef>
          </c:xVal>
          <c:yVal>
            <c:numRef>
              <c:f>Лист1!$D$30:$D$38</c:f>
              <c:numCache>
                <c:formatCode>0.0</c:formatCode>
                <c:ptCount val="9"/>
                <c:pt idx="0">
                  <c:v>142.1</c:v>
                </c:pt>
                <c:pt idx="1">
                  <c:v>140.19999999999999</c:v>
                </c:pt>
                <c:pt idx="2">
                  <c:v>138.19999999999999</c:v>
                </c:pt>
                <c:pt idx="3">
                  <c:v>133.5</c:v>
                </c:pt>
                <c:pt idx="4">
                  <c:v>130.6</c:v>
                </c:pt>
                <c:pt idx="5">
                  <c:v>136.69999999999999</c:v>
                </c:pt>
                <c:pt idx="6">
                  <c:v>138.30000000000001</c:v>
                </c:pt>
                <c:pt idx="7">
                  <c:v>130.30000000000001</c:v>
                </c:pt>
                <c:pt idx="8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FC-49AD-B29A-D0C732425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933032"/>
        <c:axId val="980930680"/>
      </c:scatterChart>
      <c:valAx>
        <c:axId val="9809330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Температура, °</a:t>
                </a:r>
                <a:r>
                  <a:rPr lang="en-US" sz="1200"/>
                  <a:t>C</a:t>
                </a:r>
              </a:p>
            </c:rich>
          </c:tx>
          <c:layout>
            <c:manualLayout>
              <c:xMode val="edge"/>
              <c:yMode val="edge"/>
              <c:x val="0.4481894014260363"/>
              <c:y val="0.87132042278498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0930680"/>
        <c:crosses val="autoZero"/>
        <c:crossBetween val="midCat"/>
      </c:valAx>
      <c:valAx>
        <c:axId val="980930680"/>
        <c:scaling>
          <c:orientation val="minMax"/>
          <c:max val="1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Забойное давление, бар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0933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893737979112E-2"/>
          <c:y val="0.92611335745194012"/>
          <c:w val="0.9"/>
          <c:h val="7.3886642548059878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>
                <a:latin typeface="+mn-lt"/>
              </a:rPr>
              <a:t>27</a:t>
            </a:r>
            <a:r>
              <a:rPr lang="ru-RU">
                <a:latin typeface="+mn-lt"/>
              </a:rPr>
              <a:t>9</a:t>
            </a:r>
            <a:endParaRPr lang="en-US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9168938411455"/>
          <c:y val="5.6987168270632847E-2"/>
          <c:w val="0.80393195073651402"/>
          <c:h val="0.74792242636337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ГДИ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Лист1!$C$11:$C$19</c:f>
              <c:numCache>
                <c:formatCode>General</c:formatCode>
                <c:ptCount val="9"/>
                <c:pt idx="0">
                  <c:v>90.9</c:v>
                </c:pt>
                <c:pt idx="1">
                  <c:v>123.2</c:v>
                </c:pt>
                <c:pt idx="2">
                  <c:v>166.6</c:v>
                </c:pt>
                <c:pt idx="3">
                  <c:v>237.2</c:v>
                </c:pt>
                <c:pt idx="4">
                  <c:v>166.6</c:v>
                </c:pt>
                <c:pt idx="5">
                  <c:v>123.2</c:v>
                </c:pt>
                <c:pt idx="6">
                  <c:v>90.9</c:v>
                </c:pt>
                <c:pt idx="7">
                  <c:v>63</c:v>
                </c:pt>
                <c:pt idx="8">
                  <c:v>33.9</c:v>
                </c:pt>
              </c:numCache>
            </c:numRef>
          </c:xVal>
          <c:yVal>
            <c:numRef>
              <c:f>Лист1!$D$11:$D$19</c:f>
              <c:numCache>
                <c:formatCode>0.0</c:formatCode>
                <c:ptCount val="9"/>
                <c:pt idx="0">
                  <c:v>139</c:v>
                </c:pt>
                <c:pt idx="1">
                  <c:v>136.80000000000001</c:v>
                </c:pt>
                <c:pt idx="2">
                  <c:v>132.19999999999999</c:v>
                </c:pt>
                <c:pt idx="3">
                  <c:v>113</c:v>
                </c:pt>
                <c:pt idx="4">
                  <c:v>132.19999999999999</c:v>
                </c:pt>
                <c:pt idx="5">
                  <c:v>136.80000000000001</c:v>
                </c:pt>
                <c:pt idx="6">
                  <c:v>138.80000000000001</c:v>
                </c:pt>
                <c:pt idx="7">
                  <c:v>140</c:v>
                </c:pt>
                <c:pt idx="8">
                  <c:v>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46-4ADC-9C51-D2766F131B9A}"/>
            </c:ext>
          </c:extLst>
        </c:ser>
        <c:ser>
          <c:idx val="1"/>
          <c:order val="1"/>
          <c:tx>
            <c:strRef>
              <c:f>Лист1!$E$2</c:f>
              <c:strCache>
                <c:ptCount val="1"/>
                <c:pt idx="0">
                  <c:v>ГДМ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Лист1!$C$11:$C$19</c:f>
              <c:numCache>
                <c:formatCode>General</c:formatCode>
                <c:ptCount val="9"/>
                <c:pt idx="0">
                  <c:v>90.9</c:v>
                </c:pt>
                <c:pt idx="1">
                  <c:v>123.2</c:v>
                </c:pt>
                <c:pt idx="2">
                  <c:v>166.6</c:v>
                </c:pt>
                <c:pt idx="3">
                  <c:v>237.2</c:v>
                </c:pt>
                <c:pt idx="4">
                  <c:v>166.6</c:v>
                </c:pt>
                <c:pt idx="5">
                  <c:v>123.2</c:v>
                </c:pt>
                <c:pt idx="6">
                  <c:v>90.9</c:v>
                </c:pt>
                <c:pt idx="7">
                  <c:v>63</c:v>
                </c:pt>
                <c:pt idx="8">
                  <c:v>33.9</c:v>
                </c:pt>
              </c:numCache>
            </c:numRef>
          </c:xVal>
          <c:yVal>
            <c:numRef>
              <c:f>Лист1!$E$11:$E$19</c:f>
              <c:numCache>
                <c:formatCode>General</c:formatCode>
                <c:ptCount val="9"/>
                <c:pt idx="0">
                  <c:v>137.05889382389799</c:v>
                </c:pt>
                <c:pt idx="1">
                  <c:v>135.55083286288601</c:v>
                </c:pt>
                <c:pt idx="2">
                  <c:v>133.266175361151</c:v>
                </c:pt>
                <c:pt idx="3">
                  <c:v>129.19831499949001</c:v>
                </c:pt>
                <c:pt idx="4">
                  <c:v>133.005398598037</c:v>
                </c:pt>
                <c:pt idx="5">
                  <c:v>135.21793114470299</c:v>
                </c:pt>
                <c:pt idx="6">
                  <c:v>136.78943659369</c:v>
                </c:pt>
                <c:pt idx="7">
                  <c:v>138.08735709492399</c:v>
                </c:pt>
                <c:pt idx="8">
                  <c:v>139.368774509437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6-4ADC-9C51-D2766F131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672096"/>
        <c:axId val="979672488"/>
      </c:scatterChart>
      <c:valAx>
        <c:axId val="97967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latin typeface="+mn-lt"/>
                  </a:rPr>
                  <a:t>Дебит газа, тыс.м</a:t>
                </a:r>
                <a:r>
                  <a:rPr lang="ru-RU" baseline="30000">
                    <a:latin typeface="+mn-lt"/>
                  </a:rPr>
                  <a:t>3</a:t>
                </a:r>
                <a:r>
                  <a:rPr lang="ru-RU">
                    <a:latin typeface="+mn-lt"/>
                  </a:rPr>
                  <a:t>/сут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9672488"/>
        <c:crosses val="autoZero"/>
        <c:crossBetween val="midCat"/>
      </c:valAx>
      <c:valAx>
        <c:axId val="979672488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latin typeface="+mn-lt"/>
                  </a:rPr>
                  <a:t>Забойное давление, бар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9672096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2950619974169959"/>
          <c:y val="0.63554913969087212"/>
          <c:w val="0.1119027379149175"/>
          <c:h val="0.17157430555555558"/>
        </c:manualLayout>
      </c:layout>
      <c:overlay val="0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latin typeface="Arial Narrow" panose="020B060602020203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+mn-lt"/>
              </a:rPr>
              <a:t>225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99168938411455"/>
          <c:y val="5.6987168270632847E-2"/>
          <c:w val="0.80393195073651402"/>
          <c:h val="0.74792242636337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ГДИ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Лист1!$C$20:$C$29</c:f>
              <c:numCache>
                <c:formatCode>General</c:formatCode>
                <c:ptCount val="10"/>
                <c:pt idx="0">
                  <c:v>45.1</c:v>
                </c:pt>
                <c:pt idx="1">
                  <c:v>67.5</c:v>
                </c:pt>
                <c:pt idx="2">
                  <c:v>117.2</c:v>
                </c:pt>
                <c:pt idx="3">
                  <c:v>162.80000000000001</c:v>
                </c:pt>
                <c:pt idx="4">
                  <c:v>236.3</c:v>
                </c:pt>
                <c:pt idx="5">
                  <c:v>310.3</c:v>
                </c:pt>
                <c:pt idx="6">
                  <c:v>385.6</c:v>
                </c:pt>
                <c:pt idx="7">
                  <c:v>310.60000000000002</c:v>
                </c:pt>
                <c:pt idx="8">
                  <c:v>165.7</c:v>
                </c:pt>
                <c:pt idx="9">
                  <c:v>67.400000000000006</c:v>
                </c:pt>
              </c:numCache>
            </c:numRef>
          </c:xVal>
          <c:yVal>
            <c:numRef>
              <c:f>Лист1!$D$20:$D$29</c:f>
              <c:numCache>
                <c:formatCode>General</c:formatCode>
                <c:ptCount val="10"/>
                <c:pt idx="0">
                  <c:v>142.6</c:v>
                </c:pt>
                <c:pt idx="1">
                  <c:v>141.9</c:v>
                </c:pt>
                <c:pt idx="2">
                  <c:v>140.30000000000001</c:v>
                </c:pt>
                <c:pt idx="3">
                  <c:v>138.6</c:v>
                </c:pt>
                <c:pt idx="4">
                  <c:v>135.69999999999999</c:v>
                </c:pt>
                <c:pt idx="5">
                  <c:v>131.80000000000001</c:v>
                </c:pt>
                <c:pt idx="6">
                  <c:v>118.5</c:v>
                </c:pt>
                <c:pt idx="7">
                  <c:v>135.30000000000001</c:v>
                </c:pt>
                <c:pt idx="8">
                  <c:v>139.9</c:v>
                </c:pt>
                <c:pt idx="9">
                  <c:v>141.9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4-4011-BF45-0D02465E5CA1}"/>
            </c:ext>
          </c:extLst>
        </c:ser>
        <c:ser>
          <c:idx val="1"/>
          <c:order val="1"/>
          <c:tx>
            <c:strRef>
              <c:f>Лист1!$E$2</c:f>
              <c:strCache>
                <c:ptCount val="1"/>
                <c:pt idx="0">
                  <c:v>ГДМ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Лист1!$C$20:$C$29</c:f>
              <c:numCache>
                <c:formatCode>General</c:formatCode>
                <c:ptCount val="10"/>
                <c:pt idx="0">
                  <c:v>45.1</c:v>
                </c:pt>
                <c:pt idx="1">
                  <c:v>67.5</c:v>
                </c:pt>
                <c:pt idx="2">
                  <c:v>117.2</c:v>
                </c:pt>
                <c:pt idx="3">
                  <c:v>162.80000000000001</c:v>
                </c:pt>
                <c:pt idx="4">
                  <c:v>236.3</c:v>
                </c:pt>
                <c:pt idx="5">
                  <c:v>310.3</c:v>
                </c:pt>
                <c:pt idx="6">
                  <c:v>385.6</c:v>
                </c:pt>
                <c:pt idx="7">
                  <c:v>310.60000000000002</c:v>
                </c:pt>
                <c:pt idx="8">
                  <c:v>165.7</c:v>
                </c:pt>
                <c:pt idx="9">
                  <c:v>67.400000000000006</c:v>
                </c:pt>
              </c:numCache>
            </c:numRef>
          </c:xVal>
          <c:yVal>
            <c:numRef>
              <c:f>Лист1!$E$20:$E$29</c:f>
              <c:numCache>
                <c:formatCode>General</c:formatCode>
                <c:ptCount val="10"/>
                <c:pt idx="0">
                  <c:v>140.11651082500799</c:v>
                </c:pt>
                <c:pt idx="1">
                  <c:v>139.637028559246</c:v>
                </c:pt>
                <c:pt idx="2">
                  <c:v>138.374814713761</c:v>
                </c:pt>
                <c:pt idx="3">
                  <c:v>137.16768479184401</c:v>
                </c:pt>
                <c:pt idx="4">
                  <c:v>135.11818955762499</c:v>
                </c:pt>
                <c:pt idx="5">
                  <c:v>132.85944652012299</c:v>
                </c:pt>
                <c:pt idx="6">
                  <c:v>130.48627225010301</c:v>
                </c:pt>
                <c:pt idx="7">
                  <c:v>132.775042869375</c:v>
                </c:pt>
                <c:pt idx="8">
                  <c:v>136.94302440525499</c:v>
                </c:pt>
                <c:pt idx="9">
                  <c:v>139.54358658758099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34-4011-BF45-0D02465E5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595984"/>
        <c:axId val="964597552"/>
      </c:scatterChart>
      <c:valAx>
        <c:axId val="96459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latin typeface="+mn-lt"/>
                  </a:rPr>
                  <a:t>Дебит газа, тыс.м</a:t>
                </a:r>
                <a:r>
                  <a:rPr lang="ru-RU" baseline="30000">
                    <a:latin typeface="+mn-lt"/>
                  </a:rPr>
                  <a:t>3</a:t>
                </a:r>
                <a:r>
                  <a:rPr lang="ru-RU">
                    <a:latin typeface="+mn-lt"/>
                  </a:rPr>
                  <a:t>/сут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4597552"/>
        <c:crosses val="autoZero"/>
        <c:crossBetween val="midCat"/>
      </c:valAx>
      <c:valAx>
        <c:axId val="964597552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latin typeface="+mn-lt"/>
                  </a:rPr>
                  <a:t>Забойное давление, бар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4595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50619974169959"/>
          <c:y val="0.63554913969087212"/>
          <c:w val="0.1119027379149175"/>
          <c:h val="0.17157430555555558"/>
        </c:manualLayout>
      </c:layout>
      <c:overlay val="0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latin typeface="Arial Narrow" panose="020B060602020203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24665540289244"/>
          <c:y val="4.4414556288572035E-2"/>
          <c:w val="0.8096534795498741"/>
          <c:h val="0.7612780024118607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Лист1!$W$2</c:f>
              <c:strCache>
                <c:ptCount val="1"/>
                <c:pt idx="0">
                  <c:v>Кривая гидратообразования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Лист1!$X$5:$X$15</c:f>
              <c:numCache>
                <c:formatCode>General</c:formatCode>
                <c:ptCount val="11"/>
                <c:pt idx="0">
                  <c:v>-0.2</c:v>
                </c:pt>
                <c:pt idx="1">
                  <c:v>1.4</c:v>
                </c:pt>
                <c:pt idx="2">
                  <c:v>2.75</c:v>
                </c:pt>
                <c:pt idx="3">
                  <c:v>3.8</c:v>
                </c:pt>
                <c:pt idx="4">
                  <c:v>4.6500000000000004</c:v>
                </c:pt>
                <c:pt idx="5">
                  <c:v>5.35</c:v>
                </c:pt>
                <c:pt idx="6">
                  <c:v>5.9</c:v>
                </c:pt>
                <c:pt idx="7">
                  <c:v>6.35</c:v>
                </c:pt>
                <c:pt idx="8">
                  <c:v>6.7</c:v>
                </c:pt>
                <c:pt idx="9">
                  <c:v>7.05</c:v>
                </c:pt>
                <c:pt idx="10">
                  <c:v>7.3</c:v>
                </c:pt>
              </c:numCache>
            </c:numRef>
          </c:xVal>
          <c:yVal>
            <c:numRef>
              <c:f>Лист1!$W$5:$W$15</c:f>
              <c:numCache>
                <c:formatCode>General</c:formatCode>
                <c:ptCount val="1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77-42CD-8860-83D3CE8BC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782976"/>
        <c:axId val="951783368"/>
      </c:scatterChart>
      <c:scatterChart>
        <c:scatterStyle val="lineMarker"/>
        <c:varyColors val="0"/>
        <c:ser>
          <c:idx val="2"/>
          <c:order val="1"/>
          <c:tx>
            <c:strRef>
              <c:f>Лист1!$X$2</c:f>
              <c:strCache>
                <c:ptCount val="1"/>
                <c:pt idx="0">
                  <c:v>ГДИ (расч. Тзаб.)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Лист1!$F$11:$F$19</c:f>
              <c:numCache>
                <c:formatCode>General</c:formatCode>
                <c:ptCount val="9"/>
                <c:pt idx="0">
                  <c:v>10.71561135</c:v>
                </c:pt>
                <c:pt idx="1">
                  <c:v>10.262544120000001</c:v>
                </c:pt>
                <c:pt idx="2">
                  <c:v>9.3152217299999975</c:v>
                </c:pt>
                <c:pt idx="3">
                  <c:v>5.3611804500000018</c:v>
                </c:pt>
                <c:pt idx="4">
                  <c:v>9.3152217299999975</c:v>
                </c:pt>
                <c:pt idx="5">
                  <c:v>10.262544120000001</c:v>
                </c:pt>
                <c:pt idx="6">
                  <c:v>10.67442342</c:v>
                </c:pt>
                <c:pt idx="7">
                  <c:v>10.921550999999999</c:v>
                </c:pt>
                <c:pt idx="8">
                  <c:v>11.127490649999999</c:v>
                </c:pt>
              </c:numCache>
            </c:numRef>
          </c:xVal>
          <c:yVal>
            <c:numRef>
              <c:f>Лист1!$D$11:$D$19</c:f>
              <c:numCache>
                <c:formatCode>0.0</c:formatCode>
                <c:ptCount val="9"/>
                <c:pt idx="0">
                  <c:v>139</c:v>
                </c:pt>
                <c:pt idx="1">
                  <c:v>136.80000000000001</c:v>
                </c:pt>
                <c:pt idx="2">
                  <c:v>132.19999999999999</c:v>
                </c:pt>
                <c:pt idx="3">
                  <c:v>113</c:v>
                </c:pt>
                <c:pt idx="4">
                  <c:v>132.19999999999999</c:v>
                </c:pt>
                <c:pt idx="5">
                  <c:v>136.80000000000001</c:v>
                </c:pt>
                <c:pt idx="6">
                  <c:v>138.80000000000001</c:v>
                </c:pt>
                <c:pt idx="7">
                  <c:v>140</c:v>
                </c:pt>
                <c:pt idx="8">
                  <c:v>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77-42CD-8860-83D3CE8BC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782976"/>
        <c:axId val="951783368"/>
      </c:scatterChart>
      <c:valAx>
        <c:axId val="95178297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Температура, °</a:t>
                </a:r>
                <a:r>
                  <a:rPr lang="en-US" sz="1200"/>
                  <a:t>C</a:t>
                </a:r>
              </a:p>
            </c:rich>
          </c:tx>
          <c:layout>
            <c:manualLayout>
              <c:xMode val="edge"/>
              <c:yMode val="edge"/>
              <c:x val="0.4481894014260363"/>
              <c:y val="0.87132042278498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1783368"/>
        <c:crosses val="autoZero"/>
        <c:crossBetween val="midCat"/>
      </c:valAx>
      <c:valAx>
        <c:axId val="951783368"/>
        <c:scaling>
          <c:orientation val="minMax"/>
          <c:max val="1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Забойное давление, бар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1782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893737979112E-2"/>
          <c:y val="0.92611335745194012"/>
          <c:w val="0.9"/>
          <c:h val="7.3886642548059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+mn-lt"/>
              </a:rPr>
              <a:t>239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99168938411455"/>
          <c:y val="5.6987168270632847E-2"/>
          <c:w val="0.80393195073651402"/>
          <c:h val="0.74792242636337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ГДИ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Лист1!$C$30:$C$38</c:f>
              <c:numCache>
                <c:formatCode>General</c:formatCode>
                <c:ptCount val="9"/>
                <c:pt idx="0">
                  <c:v>68.5</c:v>
                </c:pt>
                <c:pt idx="1">
                  <c:v>121.6</c:v>
                </c:pt>
                <c:pt idx="2">
                  <c:v>176.2</c:v>
                </c:pt>
                <c:pt idx="3">
                  <c:v>298.8</c:v>
                </c:pt>
                <c:pt idx="4">
                  <c:v>367.5</c:v>
                </c:pt>
                <c:pt idx="5">
                  <c:v>213.2</c:v>
                </c:pt>
                <c:pt idx="6">
                  <c:v>176.6</c:v>
                </c:pt>
                <c:pt idx="7">
                  <c:v>416.8</c:v>
                </c:pt>
                <c:pt idx="8">
                  <c:v>484.5</c:v>
                </c:pt>
              </c:numCache>
            </c:numRef>
          </c:xVal>
          <c:yVal>
            <c:numRef>
              <c:f>Лист1!$D$30:$D$38</c:f>
              <c:numCache>
                <c:formatCode>0.0</c:formatCode>
                <c:ptCount val="9"/>
                <c:pt idx="0">
                  <c:v>142.1</c:v>
                </c:pt>
                <c:pt idx="1">
                  <c:v>140.19999999999999</c:v>
                </c:pt>
                <c:pt idx="2">
                  <c:v>138.19999999999999</c:v>
                </c:pt>
                <c:pt idx="3">
                  <c:v>133.5</c:v>
                </c:pt>
                <c:pt idx="4">
                  <c:v>130.6</c:v>
                </c:pt>
                <c:pt idx="5">
                  <c:v>136.69999999999999</c:v>
                </c:pt>
                <c:pt idx="6">
                  <c:v>138.30000000000001</c:v>
                </c:pt>
                <c:pt idx="7">
                  <c:v>130.30000000000001</c:v>
                </c:pt>
                <c:pt idx="8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5-4D8C-B3C0-B9CCE64A4469}"/>
            </c:ext>
          </c:extLst>
        </c:ser>
        <c:ser>
          <c:idx val="1"/>
          <c:order val="1"/>
          <c:tx>
            <c:strRef>
              <c:f>Лист1!$E$2</c:f>
              <c:strCache>
                <c:ptCount val="1"/>
                <c:pt idx="0">
                  <c:v>ГДМ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Лист1!$C$30:$C$38</c:f>
              <c:numCache>
                <c:formatCode>General</c:formatCode>
                <c:ptCount val="9"/>
                <c:pt idx="0">
                  <c:v>68.5</c:v>
                </c:pt>
                <c:pt idx="1">
                  <c:v>121.6</c:v>
                </c:pt>
                <c:pt idx="2">
                  <c:v>176.2</c:v>
                </c:pt>
                <c:pt idx="3">
                  <c:v>298.8</c:v>
                </c:pt>
                <c:pt idx="4">
                  <c:v>367.5</c:v>
                </c:pt>
                <c:pt idx="5">
                  <c:v>213.2</c:v>
                </c:pt>
                <c:pt idx="6">
                  <c:v>176.6</c:v>
                </c:pt>
                <c:pt idx="7">
                  <c:v>416.8</c:v>
                </c:pt>
                <c:pt idx="8">
                  <c:v>484.5</c:v>
                </c:pt>
              </c:numCache>
            </c:numRef>
          </c:xVal>
          <c:yVal>
            <c:numRef>
              <c:f>Лист1!$E$30:$E$38</c:f>
              <c:numCache>
                <c:formatCode>General</c:formatCode>
                <c:ptCount val="9"/>
                <c:pt idx="0">
                  <c:v>139.00152383291899</c:v>
                </c:pt>
                <c:pt idx="1">
                  <c:v>137.28131948664199</c:v>
                </c:pt>
                <c:pt idx="2">
                  <c:v>135.468780444679</c:v>
                </c:pt>
                <c:pt idx="3">
                  <c:v>131.33537562133401</c:v>
                </c:pt>
                <c:pt idx="4">
                  <c:v>128.93908828388399</c:v>
                </c:pt>
                <c:pt idx="5">
                  <c:v>134.14469196554001</c:v>
                </c:pt>
                <c:pt idx="6">
                  <c:v>135.36462528540099</c:v>
                </c:pt>
                <c:pt idx="7">
                  <c:v>127.186607635442</c:v>
                </c:pt>
                <c:pt idx="8">
                  <c:v>124.771878609654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45-4D8C-B3C0-B9CCE64A4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341376"/>
        <c:axId val="941342944"/>
      </c:scatterChart>
      <c:valAx>
        <c:axId val="94134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latin typeface="+mn-lt"/>
                  </a:rPr>
                  <a:t>Дебит газа, тыс.м</a:t>
                </a:r>
                <a:r>
                  <a:rPr lang="ru-RU" baseline="30000">
                    <a:latin typeface="+mn-lt"/>
                  </a:rPr>
                  <a:t>3</a:t>
                </a:r>
                <a:r>
                  <a:rPr lang="ru-RU">
                    <a:latin typeface="+mn-lt"/>
                  </a:rPr>
                  <a:t>/сут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1342944"/>
        <c:crosses val="autoZero"/>
        <c:crossBetween val="midCat"/>
      </c:valAx>
      <c:valAx>
        <c:axId val="941342944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latin typeface="+mn-lt"/>
                  </a:rPr>
                  <a:t>Забойное давление, бар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1341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50619974169959"/>
          <c:y val="0.63554913969087212"/>
          <c:w val="0.1119027379149175"/>
          <c:h val="0.17157430555555558"/>
        </c:manualLayout>
      </c:layout>
      <c:overlay val="0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latin typeface="Arial Narrow" panose="020B060602020203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24665540289244"/>
          <c:y val="4.4414556288572035E-2"/>
          <c:w val="0.8096534795498741"/>
          <c:h val="0.7612780024118607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Лист1!$W$2</c:f>
              <c:strCache>
                <c:ptCount val="1"/>
                <c:pt idx="0">
                  <c:v>Кривая гидратообразования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Лист1!$X$5:$X$15</c:f>
              <c:numCache>
                <c:formatCode>General</c:formatCode>
                <c:ptCount val="11"/>
                <c:pt idx="0">
                  <c:v>-0.2</c:v>
                </c:pt>
                <c:pt idx="1">
                  <c:v>1.4</c:v>
                </c:pt>
                <c:pt idx="2">
                  <c:v>2.75</c:v>
                </c:pt>
                <c:pt idx="3">
                  <c:v>3.8</c:v>
                </c:pt>
                <c:pt idx="4">
                  <c:v>4.6500000000000004</c:v>
                </c:pt>
                <c:pt idx="5">
                  <c:v>5.35</c:v>
                </c:pt>
                <c:pt idx="6">
                  <c:v>5.9</c:v>
                </c:pt>
                <c:pt idx="7">
                  <c:v>6.35</c:v>
                </c:pt>
                <c:pt idx="8">
                  <c:v>6.7</c:v>
                </c:pt>
                <c:pt idx="9">
                  <c:v>7.05</c:v>
                </c:pt>
                <c:pt idx="10">
                  <c:v>7.3</c:v>
                </c:pt>
              </c:numCache>
            </c:numRef>
          </c:xVal>
          <c:yVal>
            <c:numRef>
              <c:f>Лист1!$W$5:$W$15</c:f>
              <c:numCache>
                <c:formatCode>General</c:formatCode>
                <c:ptCount val="1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51-4699-B284-1FBEFA0C4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322032"/>
        <c:axId val="1012325560"/>
      </c:scatterChart>
      <c:scatterChart>
        <c:scatterStyle val="lineMarker"/>
        <c:varyColors val="0"/>
        <c:ser>
          <c:idx val="2"/>
          <c:order val="1"/>
          <c:tx>
            <c:strRef>
              <c:f>Лист1!$X$2</c:f>
              <c:strCache>
                <c:ptCount val="1"/>
                <c:pt idx="0">
                  <c:v>ГДИ (расч. Тзаб.)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Лист1!$F$20:$F$29</c:f>
              <c:numCache>
                <c:formatCode>General</c:formatCode>
                <c:ptCount val="10"/>
                <c:pt idx="0">
                  <c:v>11.45699409</c:v>
                </c:pt>
                <c:pt idx="1">
                  <c:v>11.312836335000004</c:v>
                </c:pt>
                <c:pt idx="2">
                  <c:v>10.983332895000002</c:v>
                </c:pt>
                <c:pt idx="3">
                  <c:v>10.633235489999999</c:v>
                </c:pt>
                <c:pt idx="4">
                  <c:v>10.036010504999998</c:v>
                </c:pt>
                <c:pt idx="5">
                  <c:v>9.2328458700000038</c:v>
                </c:pt>
                <c:pt idx="6">
                  <c:v>6.4938485250000015</c:v>
                </c:pt>
                <c:pt idx="7">
                  <c:v>9.9536346450000046</c:v>
                </c:pt>
                <c:pt idx="8">
                  <c:v>10.900957035000001</c:v>
                </c:pt>
                <c:pt idx="9">
                  <c:v>11.312836335000004</c:v>
                </c:pt>
              </c:numCache>
            </c:numRef>
          </c:xVal>
          <c:yVal>
            <c:numRef>
              <c:f>Лист1!$D$20:$D$29</c:f>
              <c:numCache>
                <c:formatCode>General</c:formatCode>
                <c:ptCount val="10"/>
                <c:pt idx="0">
                  <c:v>142.6</c:v>
                </c:pt>
                <c:pt idx="1">
                  <c:v>141.9</c:v>
                </c:pt>
                <c:pt idx="2">
                  <c:v>140.30000000000001</c:v>
                </c:pt>
                <c:pt idx="3">
                  <c:v>138.6</c:v>
                </c:pt>
                <c:pt idx="4">
                  <c:v>135.69999999999999</c:v>
                </c:pt>
                <c:pt idx="5">
                  <c:v>131.80000000000001</c:v>
                </c:pt>
                <c:pt idx="6">
                  <c:v>118.5</c:v>
                </c:pt>
                <c:pt idx="7">
                  <c:v>135.30000000000001</c:v>
                </c:pt>
                <c:pt idx="8">
                  <c:v>139.9</c:v>
                </c:pt>
                <c:pt idx="9">
                  <c:v>141.9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1-4699-B284-1FBEFA0C4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322032"/>
        <c:axId val="1012325560"/>
      </c:scatterChart>
      <c:valAx>
        <c:axId val="10123220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Температура, °</a:t>
                </a:r>
                <a:r>
                  <a:rPr lang="en-US" sz="1200"/>
                  <a:t>C</a:t>
                </a:r>
              </a:p>
            </c:rich>
          </c:tx>
          <c:layout>
            <c:manualLayout>
              <c:xMode val="edge"/>
              <c:yMode val="edge"/>
              <c:x val="0.4481894014260363"/>
              <c:y val="0.87132042278498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2325560"/>
        <c:crosses val="autoZero"/>
        <c:crossBetween val="midCat"/>
      </c:valAx>
      <c:valAx>
        <c:axId val="1012325560"/>
        <c:scaling>
          <c:orientation val="minMax"/>
          <c:max val="1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Забойное давление, бар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232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893737979112E-2"/>
          <c:y val="0.92611335745194012"/>
          <c:w val="0.9"/>
          <c:h val="7.3886642548059878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+mn-lt"/>
              </a:rPr>
              <a:t>81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99168938411455"/>
          <c:y val="5.6987168270632847E-2"/>
          <c:w val="0.80393195073651402"/>
          <c:h val="0.74792242636337125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ГДИ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Лист1!$C$39:$C$45</c:f>
              <c:numCache>
                <c:formatCode>General</c:formatCode>
                <c:ptCount val="7"/>
                <c:pt idx="0">
                  <c:v>35</c:v>
                </c:pt>
                <c:pt idx="1">
                  <c:v>71.3</c:v>
                </c:pt>
                <c:pt idx="2">
                  <c:v>119.4</c:v>
                </c:pt>
                <c:pt idx="3">
                  <c:v>137.5</c:v>
                </c:pt>
                <c:pt idx="4">
                  <c:v>119.8</c:v>
                </c:pt>
                <c:pt idx="5">
                  <c:v>72</c:v>
                </c:pt>
                <c:pt idx="6">
                  <c:v>138</c:v>
                </c:pt>
              </c:numCache>
            </c:numRef>
          </c:xVal>
          <c:yVal>
            <c:numRef>
              <c:f>Лист1!$D$39:$D$45</c:f>
              <c:numCache>
                <c:formatCode>General</c:formatCode>
                <c:ptCount val="7"/>
                <c:pt idx="0">
                  <c:v>142.17000000000002</c:v>
                </c:pt>
                <c:pt idx="1">
                  <c:v>139.66</c:v>
                </c:pt>
                <c:pt idx="2">
                  <c:v>134.97999999999999</c:v>
                </c:pt>
                <c:pt idx="3">
                  <c:v>97.69</c:v>
                </c:pt>
                <c:pt idx="4">
                  <c:v>135.25</c:v>
                </c:pt>
                <c:pt idx="5">
                  <c:v>139.96</c:v>
                </c:pt>
                <c:pt idx="6">
                  <c:v>98.17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0-49B4-BB65-AF753EE21FC7}"/>
            </c:ext>
          </c:extLst>
        </c:ser>
        <c:ser>
          <c:idx val="1"/>
          <c:order val="1"/>
          <c:tx>
            <c:strRef>
              <c:f>Лист1!$E$2</c:f>
              <c:strCache>
                <c:ptCount val="1"/>
                <c:pt idx="0">
                  <c:v>ГДМ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Лист1!$C$39:$C$45</c:f>
              <c:numCache>
                <c:formatCode>General</c:formatCode>
                <c:ptCount val="7"/>
                <c:pt idx="0">
                  <c:v>35</c:v>
                </c:pt>
                <c:pt idx="1">
                  <c:v>71.3</c:v>
                </c:pt>
                <c:pt idx="2">
                  <c:v>119.4</c:v>
                </c:pt>
                <c:pt idx="3">
                  <c:v>137.5</c:v>
                </c:pt>
                <c:pt idx="4">
                  <c:v>119.8</c:v>
                </c:pt>
                <c:pt idx="5">
                  <c:v>72</c:v>
                </c:pt>
                <c:pt idx="6">
                  <c:v>138</c:v>
                </c:pt>
              </c:numCache>
            </c:numRef>
          </c:xVal>
          <c:yVal>
            <c:numRef>
              <c:f>Лист1!$E$39:$E$45</c:f>
              <c:numCache>
                <c:formatCode>General</c:formatCode>
                <c:ptCount val="7"/>
                <c:pt idx="0">
                  <c:v>139.980385608229</c:v>
                </c:pt>
                <c:pt idx="1">
                  <c:v>138.297216526254</c:v>
                </c:pt>
                <c:pt idx="2">
                  <c:v>134.99998794700599</c:v>
                </c:pt>
                <c:pt idx="3">
                  <c:v>133.05987613974099</c:v>
                </c:pt>
                <c:pt idx="4">
                  <c:v>133.505316034011</c:v>
                </c:pt>
                <c:pt idx="5">
                  <c:v>137.39117798036301</c:v>
                </c:pt>
                <c:pt idx="6">
                  <c:v>130.39769095549801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C0-49B4-BB65-AF753EE21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810448"/>
        <c:axId val="974808488"/>
      </c:scatterChart>
      <c:valAx>
        <c:axId val="97481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latin typeface="+mn-lt"/>
                  </a:rPr>
                  <a:t>Дебит газа, тыс.м</a:t>
                </a:r>
                <a:r>
                  <a:rPr lang="ru-RU" baseline="30000">
                    <a:latin typeface="+mn-lt"/>
                  </a:rPr>
                  <a:t>3</a:t>
                </a:r>
                <a:r>
                  <a:rPr lang="ru-RU">
                    <a:latin typeface="+mn-lt"/>
                  </a:rPr>
                  <a:t>/сут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4808488"/>
        <c:crosses val="autoZero"/>
        <c:crossBetween val="midCat"/>
      </c:valAx>
      <c:valAx>
        <c:axId val="974808488"/>
        <c:scaling>
          <c:orientation val="minMax"/>
          <c:max val="1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>
                    <a:latin typeface="+mn-lt"/>
                  </a:rPr>
                  <a:t>Забойное давление, бар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4810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50619974169959"/>
          <c:y val="0.63554913969087212"/>
          <c:w val="0.1119027379149175"/>
          <c:h val="0.17157430555555558"/>
        </c:manualLayout>
      </c:layout>
      <c:overlay val="0"/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latin typeface="Arial Narrow" panose="020B060602020203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24665540289244"/>
          <c:y val="4.4414556288572035E-2"/>
          <c:w val="0.8096534795498741"/>
          <c:h val="0.7612780024118607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Лист1!$W$2</c:f>
              <c:strCache>
                <c:ptCount val="1"/>
                <c:pt idx="0">
                  <c:v>Кривая гидратообразования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Лист1!$X$5:$X$15</c:f>
              <c:numCache>
                <c:formatCode>General</c:formatCode>
                <c:ptCount val="11"/>
                <c:pt idx="0">
                  <c:v>-0.2</c:v>
                </c:pt>
                <c:pt idx="1">
                  <c:v>1.4</c:v>
                </c:pt>
                <c:pt idx="2">
                  <c:v>2.75</c:v>
                </c:pt>
                <c:pt idx="3">
                  <c:v>3.8</c:v>
                </c:pt>
                <c:pt idx="4">
                  <c:v>4.6500000000000004</c:v>
                </c:pt>
                <c:pt idx="5">
                  <c:v>5.35</c:v>
                </c:pt>
                <c:pt idx="6">
                  <c:v>5.9</c:v>
                </c:pt>
                <c:pt idx="7">
                  <c:v>6.35</c:v>
                </c:pt>
                <c:pt idx="8">
                  <c:v>6.7</c:v>
                </c:pt>
                <c:pt idx="9">
                  <c:v>7.05</c:v>
                </c:pt>
                <c:pt idx="10">
                  <c:v>7.3</c:v>
                </c:pt>
              </c:numCache>
            </c:numRef>
          </c:xVal>
          <c:yVal>
            <c:numRef>
              <c:f>Лист1!$W$5:$W$15</c:f>
              <c:numCache>
                <c:formatCode>General</c:formatCode>
                <c:ptCount val="1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E3-4779-B72E-BA688A7EA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162976"/>
        <c:axId val="1015161016"/>
      </c:scatterChart>
      <c:scatterChart>
        <c:scatterStyle val="lineMarker"/>
        <c:varyColors val="0"/>
        <c:ser>
          <c:idx val="2"/>
          <c:order val="1"/>
          <c:tx>
            <c:strRef>
              <c:f>Лист1!$X$2</c:f>
              <c:strCache>
                <c:ptCount val="1"/>
                <c:pt idx="0">
                  <c:v>ГДИ (расч. Тзаб.)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Лист1!$F$39:$F$45</c:f>
              <c:numCache>
                <c:formatCode>General</c:formatCode>
                <c:ptCount val="7"/>
                <c:pt idx="0">
                  <c:v>11.9457</c:v>
                </c:pt>
                <c:pt idx="1">
                  <c:v>11.418599999999998</c:v>
                </c:pt>
                <c:pt idx="2">
                  <c:v>10.435799999999999</c:v>
                </c:pt>
                <c:pt idx="3">
                  <c:v>2.6049000000000007</c:v>
                </c:pt>
                <c:pt idx="4">
                  <c:v>10.492500000000001</c:v>
                </c:pt>
                <c:pt idx="5">
                  <c:v>11.4816</c:v>
                </c:pt>
                <c:pt idx="6">
                  <c:v>2.7057000000000002</c:v>
                </c:pt>
              </c:numCache>
            </c:numRef>
          </c:xVal>
          <c:yVal>
            <c:numRef>
              <c:f>Лист1!$D$39:$D$45</c:f>
              <c:numCache>
                <c:formatCode>General</c:formatCode>
                <c:ptCount val="7"/>
                <c:pt idx="0">
                  <c:v>142.17000000000002</c:v>
                </c:pt>
                <c:pt idx="1">
                  <c:v>139.66</c:v>
                </c:pt>
                <c:pt idx="2">
                  <c:v>134.97999999999999</c:v>
                </c:pt>
                <c:pt idx="3">
                  <c:v>97.69</c:v>
                </c:pt>
                <c:pt idx="4">
                  <c:v>135.25</c:v>
                </c:pt>
                <c:pt idx="5">
                  <c:v>139.96</c:v>
                </c:pt>
                <c:pt idx="6">
                  <c:v>98.17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E3-4779-B72E-BA688A7EA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162976"/>
        <c:axId val="1015161016"/>
      </c:scatterChart>
      <c:valAx>
        <c:axId val="101516297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Температура, °</a:t>
                </a:r>
                <a:r>
                  <a:rPr lang="en-US" sz="1200"/>
                  <a:t>C</a:t>
                </a:r>
              </a:p>
            </c:rich>
          </c:tx>
          <c:layout>
            <c:manualLayout>
              <c:xMode val="edge"/>
              <c:yMode val="edge"/>
              <c:x val="0.4481894014260363"/>
              <c:y val="0.87132042278498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5161016"/>
        <c:crosses val="autoZero"/>
        <c:crossBetween val="midCat"/>
      </c:valAx>
      <c:valAx>
        <c:axId val="1015161016"/>
        <c:scaling>
          <c:orientation val="minMax"/>
          <c:max val="1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Забойное давление, бар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5162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9999893737979112E-2"/>
          <c:y val="0.92611335745194012"/>
          <c:w val="0.9"/>
          <c:h val="7.3886642548059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3</xdr:row>
      <xdr:rowOff>76200</xdr:rowOff>
    </xdr:from>
    <xdr:to>
      <xdr:col>14</xdr:col>
      <xdr:colOff>427100</xdr:colOff>
      <xdr:row>21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171450</xdr:colOff>
      <xdr:row>4</xdr:row>
      <xdr:rowOff>0</xdr:rowOff>
    </xdr:from>
    <xdr:to>
      <xdr:col>23</xdr:col>
      <xdr:colOff>0</xdr:colOff>
      <xdr:row>22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514350</xdr:colOff>
      <xdr:row>61</xdr:row>
      <xdr:rowOff>76200</xdr:rowOff>
    </xdr:from>
    <xdr:to>
      <xdr:col>22</xdr:col>
      <xdr:colOff>342900</xdr:colOff>
      <xdr:row>79</xdr:row>
      <xdr:rowOff>171450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85725</xdr:colOff>
      <xdr:row>23</xdr:row>
      <xdr:rowOff>152400</xdr:rowOff>
    </xdr:from>
    <xdr:to>
      <xdr:col>14</xdr:col>
      <xdr:colOff>522350</xdr:colOff>
      <xdr:row>41</xdr:row>
      <xdr:rowOff>152400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95250</xdr:colOff>
      <xdr:row>42</xdr:row>
      <xdr:rowOff>123825</xdr:rowOff>
    </xdr:from>
    <xdr:to>
      <xdr:col>14</xdr:col>
      <xdr:colOff>531875</xdr:colOff>
      <xdr:row>60</xdr:row>
      <xdr:rowOff>123825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57150</xdr:colOff>
      <xdr:row>23</xdr:row>
      <xdr:rowOff>123824</xdr:rowOff>
    </xdr:from>
    <xdr:to>
      <xdr:col>22</xdr:col>
      <xdr:colOff>533400</xdr:colOff>
      <xdr:row>42</xdr:row>
      <xdr:rowOff>38100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504825</xdr:colOff>
      <xdr:row>61</xdr:row>
      <xdr:rowOff>133350</xdr:rowOff>
    </xdr:from>
    <xdr:to>
      <xdr:col>14</xdr:col>
      <xdr:colOff>331850</xdr:colOff>
      <xdr:row>79</xdr:row>
      <xdr:rowOff>133350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123825</xdr:colOff>
      <xdr:row>42</xdr:row>
      <xdr:rowOff>85725</xdr:rowOff>
    </xdr:from>
    <xdr:to>
      <xdr:col>22</xdr:col>
      <xdr:colOff>561975</xdr:colOff>
      <xdr:row>60</xdr:row>
      <xdr:rowOff>180975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200025</xdr:colOff>
      <xdr:row>83</xdr:row>
      <xdr:rowOff>28575</xdr:rowOff>
    </xdr:from>
    <xdr:to>
      <xdr:col>15</xdr:col>
      <xdr:colOff>27050</xdr:colOff>
      <xdr:row>101</xdr:row>
      <xdr:rowOff>28575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228600</xdr:colOff>
      <xdr:row>83</xdr:row>
      <xdr:rowOff>85725</xdr:rowOff>
    </xdr:from>
    <xdr:to>
      <xdr:col>23</xdr:col>
      <xdr:colOff>57150</xdr:colOff>
      <xdr:row>101</xdr:row>
      <xdr:rowOff>180975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53"/>
  <sheetViews>
    <sheetView tabSelected="1" zoomScale="50" zoomScaleNormal="50" workbookViewId="0">
      <pane ySplit="3" topLeftCell="A4" activePane="bottomLeft" state="frozen"/>
      <selection pane="bottomLeft" activeCell="AD44" sqref="AD44"/>
    </sheetView>
  </sheetViews>
  <sheetFormatPr defaultRowHeight="14.25" x14ac:dyDescent="0.45"/>
  <cols>
    <col min="2" max="2" width="15.86328125" customWidth="1"/>
  </cols>
  <sheetData>
    <row r="2" spans="1:24" x14ac:dyDescent="0.45">
      <c r="D2" t="s">
        <v>3</v>
      </c>
      <c r="E2" t="s">
        <v>4</v>
      </c>
      <c r="W2" t="s">
        <v>10</v>
      </c>
      <c r="X2" t="s">
        <v>8</v>
      </c>
    </row>
    <row r="3" spans="1:24" x14ac:dyDescent="0.45">
      <c r="A3" t="s">
        <v>0</v>
      </c>
      <c r="B3" t="s">
        <v>9</v>
      </c>
      <c r="C3" t="s">
        <v>1</v>
      </c>
      <c r="D3" t="s">
        <v>2</v>
      </c>
      <c r="F3" t="s">
        <v>5</v>
      </c>
    </row>
    <row r="4" spans="1:24" x14ac:dyDescent="0.45">
      <c r="A4">
        <v>1</v>
      </c>
      <c r="B4">
        <v>9</v>
      </c>
      <c r="C4">
        <v>31.3</v>
      </c>
      <c r="D4" s="2">
        <v>135.4</v>
      </c>
      <c r="E4" s="1">
        <v>128.75499396482601</v>
      </c>
      <c r="F4">
        <v>10.59422861</v>
      </c>
      <c r="W4" t="s">
        <v>6</v>
      </c>
      <c r="X4" t="s">
        <v>7</v>
      </c>
    </row>
    <row r="5" spans="1:24" x14ac:dyDescent="0.45">
      <c r="A5">
        <v>1</v>
      </c>
      <c r="B5">
        <v>13</v>
      </c>
      <c r="C5">
        <v>53.9</v>
      </c>
      <c r="D5" s="2">
        <v>123.4</v>
      </c>
      <c r="E5" s="1">
        <v>121.41776023574199</v>
      </c>
      <c r="F5">
        <v>-14.748704719000001</v>
      </c>
      <c r="W5">
        <v>50</v>
      </c>
      <c r="X5">
        <v>-0.2</v>
      </c>
    </row>
    <row r="6" spans="1:24" x14ac:dyDescent="0.45">
      <c r="A6">
        <v>1</v>
      </c>
      <c r="B6">
        <v>33</v>
      </c>
      <c r="C6">
        <v>71.400000000000006</v>
      </c>
      <c r="D6" s="2">
        <v>112.6</v>
      </c>
      <c r="E6" s="1">
        <v>115.719436615248</v>
      </c>
      <c r="F6">
        <v>5.8988045899999992</v>
      </c>
      <c r="W6">
        <v>60</v>
      </c>
      <c r="X6">
        <v>1.4</v>
      </c>
    </row>
    <row r="7" spans="1:24" x14ac:dyDescent="0.45">
      <c r="A7">
        <v>1</v>
      </c>
      <c r="B7">
        <v>22</v>
      </c>
      <c r="C7">
        <v>63.4</v>
      </c>
      <c r="D7" s="2">
        <v>97.4</v>
      </c>
      <c r="E7" s="1">
        <v>118.098778778952</v>
      </c>
      <c r="F7">
        <v>2.7685219100000005</v>
      </c>
      <c r="W7">
        <v>70</v>
      </c>
      <c r="X7">
        <v>2.75</v>
      </c>
    </row>
    <row r="8" spans="1:24" x14ac:dyDescent="0.45">
      <c r="A8">
        <v>1</v>
      </c>
      <c r="B8">
        <v>24</v>
      </c>
      <c r="C8">
        <v>71.400000000000006</v>
      </c>
      <c r="D8" s="2">
        <v>112.6</v>
      </c>
      <c r="E8" s="1">
        <v>115.538601254375</v>
      </c>
      <c r="F8">
        <v>5.8988045899999992</v>
      </c>
      <c r="W8">
        <v>80</v>
      </c>
      <c r="X8">
        <v>3.8</v>
      </c>
    </row>
    <row r="9" spans="1:24" x14ac:dyDescent="0.45">
      <c r="A9">
        <v>1</v>
      </c>
      <c r="B9">
        <v>20</v>
      </c>
      <c r="C9">
        <v>53.9</v>
      </c>
      <c r="D9" s="2">
        <v>123.4</v>
      </c>
      <c r="E9" s="1">
        <v>120.95460352542599</v>
      </c>
      <c r="F9">
        <v>8.1229528099999992</v>
      </c>
      <c r="W9">
        <v>90</v>
      </c>
      <c r="X9">
        <v>4.6500000000000004</v>
      </c>
    </row>
    <row r="10" spans="1:24" x14ac:dyDescent="0.45">
      <c r="A10">
        <v>1</v>
      </c>
      <c r="B10">
        <v>12</v>
      </c>
      <c r="C10">
        <v>31.3</v>
      </c>
      <c r="D10" s="2">
        <v>135.4</v>
      </c>
      <c r="E10" s="1">
        <v>128.195772256466</v>
      </c>
      <c r="F10">
        <v>10.59422861</v>
      </c>
      <c r="W10">
        <v>100</v>
      </c>
      <c r="X10">
        <v>5.35</v>
      </c>
    </row>
    <row r="11" spans="1:24" x14ac:dyDescent="0.45">
      <c r="A11">
        <v>2</v>
      </c>
      <c r="B11">
        <v>3.25</v>
      </c>
      <c r="C11">
        <v>90.9</v>
      </c>
      <c r="D11" s="2">
        <v>139</v>
      </c>
      <c r="E11" s="1">
        <v>137.05889382389799</v>
      </c>
      <c r="F11">
        <v>10.71561135</v>
      </c>
      <c r="W11">
        <v>110</v>
      </c>
      <c r="X11">
        <v>5.9</v>
      </c>
    </row>
    <row r="12" spans="1:24" x14ac:dyDescent="0.45">
      <c r="A12">
        <v>2</v>
      </c>
      <c r="B12">
        <v>3.25</v>
      </c>
      <c r="C12">
        <v>123.2</v>
      </c>
      <c r="D12" s="2">
        <v>136.80000000000001</v>
      </c>
      <c r="E12" s="1">
        <v>135.55083286288601</v>
      </c>
      <c r="F12">
        <v>10.262544120000001</v>
      </c>
      <c r="W12">
        <v>120</v>
      </c>
      <c r="X12">
        <v>6.35</v>
      </c>
    </row>
    <row r="13" spans="1:24" x14ac:dyDescent="0.45">
      <c r="A13">
        <v>2</v>
      </c>
      <c r="B13">
        <v>3.3</v>
      </c>
      <c r="C13">
        <v>166.6</v>
      </c>
      <c r="D13" s="2">
        <v>132.19999999999999</v>
      </c>
      <c r="E13" s="1">
        <v>133.266175361151</v>
      </c>
      <c r="F13">
        <v>9.3152217299999975</v>
      </c>
      <c r="W13">
        <v>130</v>
      </c>
      <c r="X13">
        <v>6.7</v>
      </c>
    </row>
    <row r="14" spans="1:24" x14ac:dyDescent="0.45">
      <c r="A14">
        <v>2</v>
      </c>
      <c r="B14">
        <v>5.5</v>
      </c>
      <c r="C14">
        <v>237.2</v>
      </c>
      <c r="D14" s="2">
        <v>113</v>
      </c>
      <c r="E14" s="1">
        <v>129.19831499949001</v>
      </c>
      <c r="F14">
        <v>5.3611804500000018</v>
      </c>
      <c r="W14">
        <v>140</v>
      </c>
      <c r="X14">
        <v>7.05</v>
      </c>
    </row>
    <row r="15" spans="1:24" x14ac:dyDescent="0.45">
      <c r="A15">
        <v>2</v>
      </c>
      <c r="B15">
        <v>24.3</v>
      </c>
      <c r="C15">
        <v>166.6</v>
      </c>
      <c r="D15" s="2">
        <v>132.19999999999999</v>
      </c>
      <c r="E15" s="1">
        <v>133.005398598037</v>
      </c>
      <c r="F15">
        <v>9.3152217299999975</v>
      </c>
      <c r="W15">
        <v>150</v>
      </c>
      <c r="X15">
        <v>7.3</v>
      </c>
    </row>
    <row r="16" spans="1:24" x14ac:dyDescent="0.45">
      <c r="A16">
        <v>2</v>
      </c>
      <c r="B16">
        <v>3.25</v>
      </c>
      <c r="C16">
        <v>123.2</v>
      </c>
      <c r="D16" s="2">
        <v>136.80000000000001</v>
      </c>
      <c r="E16" s="1">
        <v>135.21793114470299</v>
      </c>
      <c r="F16">
        <v>10.262544120000001</v>
      </c>
    </row>
    <row r="17" spans="1:6" x14ac:dyDescent="0.45">
      <c r="A17">
        <v>2</v>
      </c>
      <c r="B17">
        <v>3.25</v>
      </c>
      <c r="C17">
        <v>90.9</v>
      </c>
      <c r="D17" s="2">
        <v>138.80000000000001</v>
      </c>
      <c r="E17" s="1">
        <v>136.78943659369</v>
      </c>
      <c r="F17">
        <v>10.67442342</v>
      </c>
    </row>
    <row r="18" spans="1:6" x14ac:dyDescent="0.45">
      <c r="A18">
        <v>2</v>
      </c>
      <c r="B18">
        <v>3.25</v>
      </c>
      <c r="C18">
        <v>63</v>
      </c>
      <c r="D18" s="2">
        <v>140</v>
      </c>
      <c r="E18" s="1">
        <v>138.08735709492399</v>
      </c>
      <c r="F18">
        <v>10.921550999999999</v>
      </c>
    </row>
    <row r="19" spans="1:6" x14ac:dyDescent="0.45">
      <c r="A19">
        <v>2</v>
      </c>
      <c r="B19">
        <v>3.1</v>
      </c>
      <c r="C19">
        <v>33.9</v>
      </c>
      <c r="D19" s="2">
        <v>141</v>
      </c>
      <c r="E19" s="1">
        <v>139.368774509437</v>
      </c>
      <c r="F19">
        <v>11.127490649999999</v>
      </c>
    </row>
    <row r="20" spans="1:6" x14ac:dyDescent="0.45">
      <c r="A20">
        <v>3</v>
      </c>
      <c r="B20">
        <v>4</v>
      </c>
      <c r="C20">
        <v>45.1</v>
      </c>
      <c r="D20">
        <v>142.6</v>
      </c>
      <c r="E20" s="1">
        <v>140.11651082500799</v>
      </c>
      <c r="F20">
        <v>11.45699409</v>
      </c>
    </row>
    <row r="21" spans="1:6" x14ac:dyDescent="0.45">
      <c r="A21">
        <v>3</v>
      </c>
      <c r="B21">
        <v>16</v>
      </c>
      <c r="C21">
        <v>67.5</v>
      </c>
      <c r="D21">
        <v>141.9</v>
      </c>
      <c r="E21" s="1">
        <v>139.637028559246</v>
      </c>
      <c r="F21">
        <v>11.312836335000004</v>
      </c>
    </row>
    <row r="22" spans="1:6" x14ac:dyDescent="0.45">
      <c r="A22">
        <v>3</v>
      </c>
      <c r="B22">
        <v>17</v>
      </c>
      <c r="C22">
        <v>117.2</v>
      </c>
      <c r="D22">
        <v>140.30000000000001</v>
      </c>
      <c r="E22" s="1">
        <v>138.374814713761</v>
      </c>
      <c r="F22">
        <v>10.983332895000002</v>
      </c>
    </row>
    <row r="23" spans="1:6" x14ac:dyDescent="0.45">
      <c r="A23">
        <v>3</v>
      </c>
      <c r="B23">
        <v>7.5</v>
      </c>
      <c r="C23">
        <v>162.80000000000001</v>
      </c>
      <c r="D23">
        <v>138.6</v>
      </c>
      <c r="E23" s="1">
        <v>137.16768479184401</v>
      </c>
      <c r="F23">
        <v>10.633235489999999</v>
      </c>
    </row>
    <row r="24" spans="1:6" x14ac:dyDescent="0.45">
      <c r="A24">
        <v>3</v>
      </c>
      <c r="B24">
        <v>5.5</v>
      </c>
      <c r="C24">
        <v>236.3</v>
      </c>
      <c r="D24">
        <v>135.69999999999999</v>
      </c>
      <c r="E24" s="1">
        <v>135.11818955762499</v>
      </c>
      <c r="F24">
        <v>10.036010504999998</v>
      </c>
    </row>
    <row r="25" spans="1:6" x14ac:dyDescent="0.45">
      <c r="A25">
        <v>3</v>
      </c>
      <c r="B25">
        <v>14</v>
      </c>
      <c r="C25">
        <v>310.3</v>
      </c>
      <c r="D25">
        <v>131.80000000000001</v>
      </c>
      <c r="E25" s="1">
        <v>132.85944652012299</v>
      </c>
      <c r="F25">
        <v>9.2328458700000038</v>
      </c>
    </row>
    <row r="26" spans="1:6" x14ac:dyDescent="0.45">
      <c r="A26">
        <v>3</v>
      </c>
      <c r="B26">
        <v>23</v>
      </c>
      <c r="C26">
        <v>385.6</v>
      </c>
      <c r="D26">
        <v>118.5</v>
      </c>
      <c r="E26" s="1">
        <v>130.48627225010301</v>
      </c>
      <c r="F26">
        <v>6.4938485250000015</v>
      </c>
    </row>
    <row r="27" spans="1:6" x14ac:dyDescent="0.45">
      <c r="A27">
        <v>3</v>
      </c>
      <c r="B27">
        <v>5</v>
      </c>
      <c r="C27">
        <v>310.60000000000002</v>
      </c>
      <c r="D27">
        <v>135.30000000000001</v>
      </c>
      <c r="E27" s="1">
        <v>132.775042869375</v>
      </c>
      <c r="F27">
        <v>9.9536346450000046</v>
      </c>
    </row>
    <row r="28" spans="1:6" x14ac:dyDescent="0.45">
      <c r="A28">
        <v>3</v>
      </c>
      <c r="B28">
        <v>6</v>
      </c>
      <c r="C28">
        <v>165.7</v>
      </c>
      <c r="D28">
        <v>139.9</v>
      </c>
      <c r="E28" s="1">
        <v>136.94302440525499</v>
      </c>
      <c r="F28">
        <v>10.900957035000001</v>
      </c>
    </row>
    <row r="29" spans="1:6" x14ac:dyDescent="0.45">
      <c r="A29">
        <v>3</v>
      </c>
      <c r="B29">
        <v>14.5</v>
      </c>
      <c r="C29">
        <v>67.400000000000006</v>
      </c>
      <c r="D29">
        <v>141.9</v>
      </c>
      <c r="E29" s="1">
        <v>139.54358658758099</v>
      </c>
      <c r="F29">
        <v>11.312836335000004</v>
      </c>
    </row>
    <row r="30" spans="1:6" x14ac:dyDescent="0.45">
      <c r="A30">
        <v>4</v>
      </c>
      <c r="B30">
        <v>21.25</v>
      </c>
      <c r="C30">
        <v>68.5</v>
      </c>
      <c r="D30" s="2">
        <v>142.1</v>
      </c>
      <c r="E30" s="1">
        <v>139.00152383291899</v>
      </c>
      <c r="F30">
        <v>11.354024265</v>
      </c>
    </row>
    <row r="31" spans="1:6" x14ac:dyDescent="0.45">
      <c r="A31">
        <v>4</v>
      </c>
      <c r="B31">
        <v>12.25</v>
      </c>
      <c r="C31">
        <v>121.6</v>
      </c>
      <c r="D31" s="2">
        <v>140.19999999999999</v>
      </c>
      <c r="E31" s="1">
        <v>137.28131948664199</v>
      </c>
      <c r="F31">
        <v>10.962738929999999</v>
      </c>
    </row>
    <row r="32" spans="1:6" x14ac:dyDescent="0.45">
      <c r="A32">
        <v>4</v>
      </c>
      <c r="B32">
        <v>12.3</v>
      </c>
      <c r="C32">
        <v>176.2</v>
      </c>
      <c r="D32" s="2">
        <v>138.19999999999999</v>
      </c>
      <c r="E32" s="1">
        <v>135.468780444679</v>
      </c>
      <c r="F32">
        <v>10.55085963</v>
      </c>
    </row>
    <row r="33" spans="1:6" x14ac:dyDescent="0.45">
      <c r="A33">
        <v>4</v>
      </c>
      <c r="B33">
        <v>10.5</v>
      </c>
      <c r="C33">
        <v>298.8</v>
      </c>
      <c r="D33" s="2">
        <v>133.5</v>
      </c>
      <c r="E33" s="1">
        <v>131.33537562133401</v>
      </c>
      <c r="F33">
        <v>9.5829432749999999</v>
      </c>
    </row>
    <row r="34" spans="1:6" x14ac:dyDescent="0.45">
      <c r="A34">
        <v>4</v>
      </c>
      <c r="B34">
        <v>10.9</v>
      </c>
      <c r="C34">
        <v>367.5</v>
      </c>
      <c r="D34" s="2">
        <v>130.6</v>
      </c>
      <c r="E34" s="1">
        <v>128.93908828388399</v>
      </c>
      <c r="F34">
        <v>8.9857182900000012</v>
      </c>
    </row>
    <row r="35" spans="1:6" x14ac:dyDescent="0.45">
      <c r="A35">
        <v>4</v>
      </c>
      <c r="B35">
        <v>10.45</v>
      </c>
      <c r="C35">
        <v>213.2</v>
      </c>
      <c r="D35" s="2">
        <v>136.69999999999999</v>
      </c>
      <c r="E35" s="1">
        <v>134.14469196554001</v>
      </c>
      <c r="F35">
        <v>10.241950154999998</v>
      </c>
    </row>
    <row r="36" spans="1:6" x14ac:dyDescent="0.45">
      <c r="A36">
        <v>4</v>
      </c>
      <c r="B36">
        <v>12.3</v>
      </c>
      <c r="C36">
        <v>176.6</v>
      </c>
      <c r="D36" s="2">
        <v>138.30000000000001</v>
      </c>
      <c r="E36" s="1">
        <v>135.36462528540099</v>
      </c>
      <c r="F36">
        <v>10.571453595000003</v>
      </c>
    </row>
    <row r="37" spans="1:6" x14ac:dyDescent="0.45">
      <c r="A37">
        <v>4</v>
      </c>
      <c r="B37">
        <v>6.6</v>
      </c>
      <c r="C37">
        <v>416.8</v>
      </c>
      <c r="D37" s="2">
        <v>130.30000000000001</v>
      </c>
      <c r="E37" s="1">
        <v>127.186607635442</v>
      </c>
      <c r="F37">
        <v>8.9239363950000019</v>
      </c>
    </row>
    <row r="38" spans="1:6" x14ac:dyDescent="0.45">
      <c r="A38">
        <v>4</v>
      </c>
      <c r="B38">
        <v>5.75</v>
      </c>
      <c r="C38">
        <v>484.5</v>
      </c>
      <c r="D38" s="2">
        <v>115</v>
      </c>
      <c r="E38" s="1">
        <v>124.771878609654</v>
      </c>
      <c r="F38">
        <v>5.7730597500000007</v>
      </c>
    </row>
    <row r="39" spans="1:6" x14ac:dyDescent="0.45">
      <c r="A39">
        <v>5</v>
      </c>
      <c r="B39">
        <v>4.05</v>
      </c>
      <c r="C39">
        <v>35</v>
      </c>
      <c r="D39">
        <v>142.17000000000002</v>
      </c>
      <c r="E39" s="1">
        <v>139.980385608229</v>
      </c>
      <c r="F39">
        <v>11.9457</v>
      </c>
    </row>
    <row r="40" spans="1:6" x14ac:dyDescent="0.45">
      <c r="A40">
        <v>5</v>
      </c>
      <c r="B40">
        <v>4.08</v>
      </c>
      <c r="C40">
        <v>71.3</v>
      </c>
      <c r="D40">
        <v>139.66</v>
      </c>
      <c r="E40" s="1">
        <v>138.297216526254</v>
      </c>
      <c r="F40">
        <v>11.418599999999998</v>
      </c>
    </row>
    <row r="41" spans="1:6" x14ac:dyDescent="0.45">
      <c r="A41">
        <v>5</v>
      </c>
      <c r="B41">
        <v>5.25</v>
      </c>
      <c r="C41">
        <v>119.4</v>
      </c>
      <c r="D41">
        <v>134.97999999999999</v>
      </c>
      <c r="E41" s="1">
        <v>134.99998794700599</v>
      </c>
      <c r="F41">
        <v>10.435799999999999</v>
      </c>
    </row>
    <row r="42" spans="1:6" x14ac:dyDescent="0.45">
      <c r="A42">
        <v>5</v>
      </c>
      <c r="B42">
        <v>8.5</v>
      </c>
      <c r="C42">
        <v>137.5</v>
      </c>
      <c r="D42">
        <v>97.69</v>
      </c>
      <c r="E42" s="1">
        <v>133.05987613974099</v>
      </c>
      <c r="F42">
        <v>2.6049000000000007</v>
      </c>
    </row>
    <row r="43" spans="1:6" x14ac:dyDescent="0.45">
      <c r="A43">
        <v>5</v>
      </c>
      <c r="B43">
        <v>24.25</v>
      </c>
      <c r="C43">
        <v>119.8</v>
      </c>
      <c r="D43">
        <v>135.25</v>
      </c>
      <c r="E43" s="1">
        <v>133.505316034011</v>
      </c>
      <c r="F43">
        <v>10.492500000000001</v>
      </c>
    </row>
    <row r="44" spans="1:6" x14ac:dyDescent="0.45">
      <c r="A44">
        <v>5</v>
      </c>
      <c r="B44">
        <v>4.08</v>
      </c>
      <c r="C44">
        <v>72</v>
      </c>
      <c r="D44">
        <v>139.96</v>
      </c>
      <c r="E44" s="1">
        <v>137.39117798036301</v>
      </c>
      <c r="F44">
        <v>11.4816</v>
      </c>
    </row>
    <row r="45" spans="1:6" x14ac:dyDescent="0.45">
      <c r="A45">
        <v>5</v>
      </c>
      <c r="B45">
        <v>18.5</v>
      </c>
      <c r="C45">
        <v>138</v>
      </c>
      <c r="D45">
        <v>98.17</v>
      </c>
      <c r="E45" s="1">
        <v>130.39769095549801</v>
      </c>
      <c r="F45">
        <v>2.7057000000000002</v>
      </c>
    </row>
    <row r="52" spans="2:2" x14ac:dyDescent="0.45">
      <c r="B52">
        <f>MIN(B4:B45)</f>
        <v>3.1</v>
      </c>
    </row>
    <row r="53" spans="2:2" x14ac:dyDescent="0.45">
      <c r="B53">
        <f>MAX(B4:B45)</f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2025-12-21T11:15:39Z</dcterms:modified>
</cp:coreProperties>
</file>